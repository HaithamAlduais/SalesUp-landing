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· Summary" state="visible" r:id="rId4"/>
    <sheet sheetId="2" name="الاستشارات · Contact" state="visible" r:id="rId5"/>
    <sheet sheetId="3" name="طلبات الخدمة · Service" state="visible" r:id="rId6"/>
    <sheet sheetId="4" name="المسوقين · Marketers" state="visible" r:id="rId7"/>
    <sheet sheetId="5" name="التوظيف · Jobs" state="visible" r:id="rId8"/>
    <sheet sheetId="6" name="الحقول · Fields" state="visible" r:id="rId9"/>
  </sheets>
  <calcPr calcId="171027"/>
</workbook>
</file>

<file path=xl/sharedStrings.xml><?xml version="1.0" encoding="utf-8"?>
<sst xmlns="http://schemas.openxmlformats.org/spreadsheetml/2006/main" count="569" uniqueCount="180">
  <si>
    <t>طلبات موقع SalesUp — لوحة سريعة</t>
  </si>
  <si>
    <t>الأرقام تتحدّث تلقائيًا مع كل طلب جديد يضيفه الموقع. لا تحذف الأعمدة ولا تغيّر أسماء التبويبات.</t>
  </si>
  <si>
    <t>النموذج / Form</t>
  </si>
  <si>
    <t>التبويب / Sheet</t>
  </si>
  <si>
    <t>إجمالي الطلبات</t>
  </si>
  <si>
    <t>آخر ٧ أيام</t>
  </si>
  <si>
    <t>اليوم</t>
  </si>
  <si>
    <t>آخر طلب</t>
  </si>
  <si>
    <t>استشارة مجانية</t>
  </si>
  <si>
    <t>الاستشارات · Contact</t>
  </si>
  <si>
    <t>طلب خدمة</t>
  </si>
  <si>
    <t>طلبات الخدمة · Service</t>
  </si>
  <si>
    <t>طلب مسوقين</t>
  </si>
  <si>
    <t>المسوقين · Marketers</t>
  </si>
  <si>
    <t>طلب توظيف</t>
  </si>
  <si>
    <t>التوظيف · Jobs</t>
  </si>
  <si>
    <t>الإجمالي</t>
  </si>
  <si>
    <t>الخدمات المطلوبة</t>
  </si>
  <si>
    <t>المبيعات الخارجية</t>
  </si>
  <si>
    <t>outside-sales</t>
  </si>
  <si>
    <t>المبيعات الداخلية</t>
  </si>
  <si>
    <t>inside-sales</t>
  </si>
  <si>
    <t>تطوير المبيعات</t>
  </si>
  <si>
    <t>sales-development</t>
  </si>
  <si>
    <t>توليد العملاء المحتملين</t>
  </si>
  <si>
    <t>lead-generation</t>
  </si>
  <si>
    <t>أدوات الذكاء الاصطناعي</t>
  </si>
  <si>
    <t>ai-sales</t>
  </si>
  <si>
    <t>خدمات وباقات المسوقين</t>
  </si>
  <si>
    <t>تحسين الظهور في محركات البحث</t>
  </si>
  <si>
    <t>seo</t>
  </si>
  <si>
    <t>إدارة الحملات الإعلانية</t>
  </si>
  <si>
    <t>campaigns</t>
  </si>
  <si>
    <t>الباقة الأساسية</t>
  </si>
  <si>
    <t>basic</t>
  </si>
  <si>
    <t>الباقة الاحترافية</t>
  </si>
  <si>
    <t>pro</t>
  </si>
  <si>
    <t>التاريخ والوقت / Timestamp</t>
  </si>
  <si>
    <t>رقم الطلب / Submission ID</t>
  </si>
  <si>
    <t>الاسم / Name</t>
  </si>
  <si>
    <t>رقم الجوال / Phone</t>
  </si>
  <si>
    <t>الايميل / Email</t>
  </si>
  <si>
    <t>الرسالة / Message</t>
  </si>
  <si>
    <t>اللغة / Language</t>
  </si>
  <si>
    <t>الصفحة / Page</t>
  </si>
  <si>
    <t>المصدر المُحيل / Referrer</t>
  </si>
  <si>
    <t>utm_source</t>
  </si>
  <si>
    <t>utm_medium</t>
  </si>
  <si>
    <t>utm_campaign</t>
  </si>
  <si>
    <t>الجهاز والمتصفح / Device</t>
  </si>
  <si>
    <t>حالة CRM / CRM status</t>
  </si>
  <si>
    <t>معرّف Bigin / Bigin ID</t>
  </si>
  <si>
    <t>حالة المتابعة / Follow-up</t>
  </si>
  <si>
    <t>المسؤول / Owner</t>
  </si>
  <si>
    <t>ملاحظات الفريق / Team notes</t>
  </si>
  <si>
    <t>الخدمة / Service</t>
  </si>
  <si>
    <t>رمز الخدمة / Service slug</t>
  </si>
  <si>
    <t>اسم الجهة / Company</t>
  </si>
  <si>
    <t>ملاحظات العميل / Notes</t>
  </si>
  <si>
    <t>النوع / Type</t>
  </si>
  <si>
    <t>الباقة أو الخدمة / Choice</t>
  </si>
  <si>
    <t>رمز الاختيار / Choice slug</t>
  </si>
  <si>
    <t>رابط المنتج / Product link</t>
  </si>
  <si>
    <t>الوظيفة / Role</t>
  </si>
  <si>
    <t>رمز الوظيفة / Role slug</t>
  </si>
  <si>
    <t>لينكدإن / LinkedIn</t>
  </si>
  <si>
    <t>السيرة الذاتية / CV link</t>
  </si>
  <si>
    <t>ملف الأعمال / Portfolio</t>
  </si>
  <si>
    <t>نبذة عن المتقدم / About</t>
  </si>
  <si>
    <t>قيمة form في الطلب</t>
  </si>
  <si>
    <t>العمود</t>
  </si>
  <si>
    <t>عنوان العمود</t>
  </si>
  <si>
    <t>حقل التطبيق / App field</t>
  </si>
  <si>
    <t>الحالة</t>
  </si>
  <si>
    <t>مثال</t>
  </si>
  <si>
    <t>contact</t>
  </si>
  <si>
    <t>الصفحة الرئيسية — قسم «تواصل معنا» (/)</t>
  </si>
  <si>
    <t>A</t>
  </si>
  <si>
    <t>(الخادم) وقت الاستلام</t>
  </si>
  <si>
    <t>تلقائي</t>
  </si>
  <si>
    <t>2026-08-07 14:32</t>
  </si>
  <si>
    <t>B</t>
  </si>
  <si>
    <t>(الخادم) معرّف فريد</t>
  </si>
  <si>
    <t>SU-4F2A9C31</t>
  </si>
  <si>
    <t>C</t>
  </si>
  <si>
    <t>name</t>
  </si>
  <si>
    <t>إلزامي</t>
  </si>
  <si>
    <t>محمد العتيبي</t>
  </si>
  <si>
    <t>D</t>
  </si>
  <si>
    <t>phone</t>
  </si>
  <si>
    <t>0551234567</t>
  </si>
  <si>
    <t>E</t>
  </si>
  <si>
    <t>email</t>
  </si>
  <si>
    <t>اختياري</t>
  </si>
  <si>
    <t>m@example.com</t>
  </si>
  <si>
    <t>F</t>
  </si>
  <si>
    <t>message</t>
  </si>
  <si>
    <t>أبغى استشارة لفريق مبيعات</t>
  </si>
  <si>
    <t>G</t>
  </si>
  <si>
    <t>(الموقع) لغة العرض</t>
  </si>
  <si>
    <t>ar</t>
  </si>
  <si>
    <t>H</t>
  </si>
  <si>
    <t>(الموقع) مسار الصفحة</t>
  </si>
  <si>
    <t>/</t>
  </si>
  <si>
    <t>I</t>
  </si>
  <si>
    <t>(الموقع) الصفحة السابقة</t>
  </si>
  <si>
    <t>https://google.com/</t>
  </si>
  <si>
    <t>J</t>
  </si>
  <si>
    <t>(الرابط) utm_source</t>
  </si>
  <si>
    <t>google</t>
  </si>
  <si>
    <t>K</t>
  </si>
  <si>
    <t>(الرابط) utm_medium</t>
  </si>
  <si>
    <t>cpc</t>
  </si>
  <si>
    <t>L</t>
  </si>
  <si>
    <t>(الرابط) utm_campaign</t>
  </si>
  <si>
    <t>summer-sales</t>
  </si>
  <si>
    <t>M</t>
  </si>
  <si>
    <t>(الخادم) user-agent</t>
  </si>
  <si>
    <t>iPhone · Safari</t>
  </si>
  <si>
    <t>N</t>
  </si>
  <si>
    <t>(الخادم) نتيجة Bigin</t>
  </si>
  <si>
    <t>ok</t>
  </si>
  <si>
    <t>O</t>
  </si>
  <si>
    <t>(الخادم) معرّف جهة الاتصال</t>
  </si>
  <si>
    <t>5068000000123456</t>
  </si>
  <si>
    <t>P</t>
  </si>
  <si>
    <t>— يعبّيه الفريق</t>
  </si>
  <si>
    <t>يدوي</t>
  </si>
  <si>
    <t>تم التواصل</t>
  </si>
  <si>
    <t>Q</t>
  </si>
  <si>
    <t>سارة</t>
  </si>
  <si>
    <t>R</t>
  </si>
  <si>
    <t>موعد مكالمة الأحد</t>
  </si>
  <si>
    <t>service-request</t>
  </si>
  <si>
    <t>صفحة الخدمات وصفحات الخدمة (/services · /services/:slug)</t>
  </si>
  <si>
    <t>serviceLabel</t>
  </si>
  <si>
    <t>service</t>
  </si>
  <si>
    <t>org</t>
  </si>
  <si>
    <t>شركة نُزُل</t>
  </si>
  <si>
    <t>notes</t>
  </si>
  <si>
    <t>نحتاج البدء الشهر الجاي</t>
  </si>
  <si>
    <t>/services/inside-sales</t>
  </si>
  <si>
    <t>S</t>
  </si>
  <si>
    <t>T</t>
  </si>
  <si>
    <t>U</t>
  </si>
  <si>
    <t>marketers-apply</t>
  </si>
  <si>
    <t>صفحة التسويق — نموذج التقديم (/marketers?type=…&amp;pick=…)</t>
  </si>
  <si>
    <t>planType</t>
  </si>
  <si>
    <t>باقات المسوقين</t>
  </si>
  <si>
    <t>planLabel</t>
  </si>
  <si>
    <t>plan</t>
  </si>
  <si>
    <t>link</t>
  </si>
  <si>
    <t>https://example.com</t>
  </si>
  <si>
    <t>/marketers?type=package&amp;pick=pro</t>
  </si>
  <si>
    <t>V</t>
  </si>
  <si>
    <t>job-apply</t>
  </si>
  <si>
    <t>صفحة الوظائف — نموذج التقديم (/jobs?job=…)</t>
  </si>
  <si>
    <t>jobLabel</t>
  </si>
  <si>
    <t>أخصائي تسويق</t>
  </si>
  <si>
    <t>job</t>
  </si>
  <si>
    <t>marketing-specialist</t>
  </si>
  <si>
    <t>linkedin</t>
  </si>
  <si>
    <t>https://linkedin.com/in/…</t>
  </si>
  <si>
    <t>cv</t>
  </si>
  <si>
    <t>https://drive.google.com/…</t>
  </si>
  <si>
    <t>portfolio</t>
  </si>
  <si>
    <t>https://behance.net/…</t>
  </si>
  <si>
    <t>about</t>
  </si>
  <si>
    <t>خريج تسويق، سنتين خبرة</t>
  </si>
  <si>
    <t>/jobs?job=marketing-specialist</t>
  </si>
  <si>
    <t>W</t>
  </si>
  <si>
    <t>كيف يشتغل الربط:</t>
  </si>
  <si>
    <t>١) كل طلب من الموقع يروح أول شي للـ CRM (Bigin by Zoho) — هذا ما تغيّر.</t>
  </si>
  <si>
    <t>٢) بعدها نفس الطلب ينضاف صف جديد في التبويب الخاص فيه هنا — من عمود «التاريخ والوقت» حتى عمود «معرّف Bigin».</t>
  </si>
  <si>
    <t>٣) لو فشل الإرسال لأي طرف، الطرف الثاني يكمل — الطلب ما يضيع، وحالة CRM في العمود تبيّن النتيجة.</t>
  </si>
  <si>
    <t/>
  </si>
  <si>
    <t>أعمدة الفريق (الرمادية) للفريق فقط — التطبيق ما يكتب فيها ولا يمسحها.</t>
  </si>
  <si>
    <t>الوقت بتوقيت الرياض (UTC+3).</t>
  </si>
  <si>
    <t>لا تغيّر أسماء التبويبات ولا ترتيب الأعمدة — الربط يعتمد عليها. تبغى تعديل؟ قل لي عشان أحدّث الكود.</t>
  </si>
  <si>
    <t>تقدر تضيف أعمدة جديدة بعد أعمدة الفريق بدون ما تكسر شي.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</si>
</sst>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3" x14ac:knownFonts="1">
    <font>
      <color theme="1"/>
      <family val="2"/>
      <scheme val="minor"/>
      <sz val="11"/>
      <name val="Calibri"/>
    </font>
    <font>
      <b/>
      <color rgb="FF133F40"/>
      <sz val="18"/>
      <name val="Arial"/>
    </font>
    <font>
      <color rgb="FF5B6B6B"/>
      <sz val="10"/>
      <name val="Arial"/>
    </font>
    <font>
      <b/>
      <color rgb="FFFFFFFF"/>
      <name val="Arial"/>
    </font>
    <font>
      <name val="Arial"/>
    </font>
    <font>
      <b/>
      <color rgb="FF133F40"/>
      <name val="Arial"/>
    </font>
    <font>
      <b/>
      <color rgb="FF133F40"/>
      <sz val="13"/>
      <name val="Arial"/>
    </font>
    <font>
      <color rgb="FF7A8C8C"/>
      <sz val="9"/>
      <name val="Arial"/>
    </font>
    <font>
      <b/>
      <name val="Arial"/>
    </font>
    <font>
      <b/>
      <color rgb="FFFFFFFF"/>
      <sz val="11"/>
      <name val="Arial"/>
    </font>
    <font>
      <b/>
      <color rgb="FF0B1B1C"/>
      <sz val="11"/>
      <name val="Arial"/>
    </font>
    <font>
      <sz val="10"/>
      <name val="Arial"/>
    </font>
    <font>
      <b/>
      <color rgb="FF133F4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4CB79"/>
      </patternFill>
    </fill>
    <fill>
      <patternFill patternType="solid">
        <fgColor rgb="FFE9E9E9"/>
      </patternFill>
    </fill>
    <fill>
      <patternFill patternType="solid">
        <fgColor rgb="FF133F40"/>
      </patternFill>
    </fill>
    <fill>
      <patternFill patternType="solid">
        <fgColor rgb="FFCFCFCF"/>
      </patternFill>
    </fill>
  </fills>
  <borders count="3">
    <border>
      <left/>
      <right/>
      <top/>
      <bottom/>
      <diagonal/>
    </border>
    <border>
      <left/>
      <right/>
      <top/>
      <bottom style="hair">
        <color rgb="FFCFCFCF"/>
      </bottom>
      <diagonal/>
    </border>
    <border>
      <left/>
      <right/>
      <top/>
      <bottom style="thin">
        <color rgb="FF0B1B1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4" fontId="9" fillId="2" borderId="2" xfId="0" applyNumberFormat="1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11" fillId="0" borderId="1" xfId="0" applyFont="1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CB79"/>
  </sheetPr>
  <dimension ref="A1:F22"/>
  <sheetViews>
    <sheetView workbookViewId="0" rightToLeft="1" showGridLines="0"/>
  </sheetViews>
  <sheetFormatPr defaultRowHeight="22" outlineLevelRow="0" outlineLevelCol="0" x14ac:dyDescent="55" customHeight="1"/>
  <cols>
    <col min="1" max="2" width="30" customWidth="1"/>
    <col min="3" max="4" width="18" customWidth="1"/>
    <col min="5" max="5" width="14" customWidth="1"/>
    <col min="6" max="6" width="22" customWidth="1"/>
  </cols>
  <sheetData>
    <row r="1" ht="34" customHeight="1" spans="1:1" x14ac:dyDescent="0.25">
      <c r="A1" s="1" t="s">
        <v>0</v>
      </c>
    </row>
    <row r="2" spans="1:1" x14ac:dyDescent="0.25">
      <c r="A2" s="2" t="s">
        <v>1</v>
      </c>
    </row>
    <row r="4" ht="30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5">
        <f>MAX(0,COUNTA('الاستشارات · Contact'!C:C)-1)</f>
      </c>
      <c r="D5" s="5">
        <f>COUNTIFS('الاستشارات · Contact'!A:A,"&gt;="&amp;TODAY()-7)</f>
      </c>
      <c r="E5" s="5">
        <f>COUNTIFS('الاستشارات · Contact'!A:A,"&gt;="&amp;TODAY())</f>
      </c>
      <c r="F5" s="5">
        <f>IF(COUNT('الاستشارات · Contact'!A:A)=0,"—",TEXT(MAX('الاستشارات · Contact'!A:A),"yyyy-mm-dd hh:mm"))</f>
      </c>
    </row>
    <row r="6" spans="1:6" x14ac:dyDescent="0.25">
      <c r="A6" s="4" t="s">
        <v>10</v>
      </c>
      <c r="B6" s="4" t="s">
        <v>11</v>
      </c>
      <c r="C6" s="5">
        <f>MAX(0,COUNTA('طلبات الخدمة · Service'!C:C)-1)</f>
      </c>
      <c r="D6" s="5">
        <f>COUNTIFS('طلبات الخدمة · Service'!A:A,"&gt;="&amp;TODAY()-7)</f>
      </c>
      <c r="E6" s="5">
        <f>COUNTIFS('طلبات الخدمة · Service'!A:A,"&gt;="&amp;TODAY())</f>
      </c>
      <c r="F6" s="5">
        <f>IF(COUNT('طلبات الخدمة · Service'!A:A)=0,"—",TEXT(MAX('طلبات الخدمة · Service'!A:A),"yyyy-mm-dd hh:mm"))</f>
      </c>
    </row>
    <row r="7" spans="1:6" x14ac:dyDescent="0.25">
      <c r="A7" s="4" t="s">
        <v>12</v>
      </c>
      <c r="B7" s="4" t="s">
        <v>13</v>
      </c>
      <c r="C7" s="5">
        <f>MAX(0,COUNTA('المسوقين · Marketers'!C:C)-1)</f>
      </c>
      <c r="D7" s="5">
        <f>COUNTIFS('المسوقين · Marketers'!A:A,"&gt;="&amp;TODAY()-7)</f>
      </c>
      <c r="E7" s="5">
        <f>COUNTIFS('المسوقين · Marketers'!A:A,"&gt;="&amp;TODAY())</f>
      </c>
      <c r="F7" s="5">
        <f>IF(COUNT('المسوقين · Marketers'!A:A)=0,"—",TEXT(MAX('المسوقين · Marketers'!A:A),"yyyy-mm-dd hh:mm"))</f>
      </c>
    </row>
    <row r="8" spans="1:6" x14ac:dyDescent="0.25">
      <c r="A8" s="4" t="s">
        <v>14</v>
      </c>
      <c r="B8" s="4" t="s">
        <v>15</v>
      </c>
      <c r="C8" s="5">
        <f>MAX(0,COUNTA('التوظيف · Jobs'!C:C)-1)</f>
      </c>
      <c r="D8" s="5">
        <f>COUNTIFS('التوظيف · Jobs'!A:A,"&gt;="&amp;TODAY()-7)</f>
      </c>
      <c r="E8" s="5">
        <f>COUNTIFS('التوظيف · Jobs'!A:A,"&gt;="&amp;TODAY())</f>
      </c>
      <c r="F8" s="5">
        <f>IF(COUNT('التوظيف · Jobs'!A:A)=0,"—",TEXT(MAX('التوظيف · Jobs'!A:A),"yyyy-mm-dd hh:mm"))</f>
      </c>
    </row>
    <row r="9" spans="2:5" x14ac:dyDescent="0.25">
      <c r="B9" s="6" t="s">
        <v>16</v>
      </c>
      <c r="C9" s="7">
        <f>SUM(C5:C8)</f>
      </c>
      <c r="D9" s="7">
        <f>SUM(D5:D8)</f>
      </c>
      <c r="E9" s="7">
        <f>SUM(E5:E8)</f>
      </c>
    </row>
    <row r="11" ht="28" customHeight="1" spans="1:1" x14ac:dyDescent="0.25">
      <c r="A11" s="8" t="s">
        <v>17</v>
      </c>
    </row>
    <row r="12" spans="1:3" x14ac:dyDescent="0.25">
      <c r="A12" s="9" t="s">
        <v>18</v>
      </c>
      <c r="B12" s="10" t="s">
        <v>19</v>
      </c>
      <c r="C12" s="11">
        <f>COUNTIF('طلبات الخدمة · Service'!G:G,"outside-sales")</f>
      </c>
    </row>
    <row r="13" spans="1:3" x14ac:dyDescent="0.25">
      <c r="A13" s="9" t="s">
        <v>20</v>
      </c>
      <c r="B13" s="10" t="s">
        <v>21</v>
      </c>
      <c r="C13" s="11">
        <f>COUNTIF('طلبات الخدمة · Service'!G:G,"inside-sales")</f>
      </c>
    </row>
    <row r="14" spans="1:3" x14ac:dyDescent="0.25">
      <c r="A14" s="9" t="s">
        <v>22</v>
      </c>
      <c r="B14" s="10" t="s">
        <v>23</v>
      </c>
      <c r="C14" s="11">
        <f>COUNTIF('طلبات الخدمة · Service'!G:G,"sales-development")</f>
      </c>
    </row>
    <row r="15" spans="1:3" x14ac:dyDescent="0.25">
      <c r="A15" s="9" t="s">
        <v>24</v>
      </c>
      <c r="B15" s="10" t="s">
        <v>25</v>
      </c>
      <c r="C15" s="11">
        <f>COUNTIF('طلبات الخدمة · Service'!G:G,"lead-generation")</f>
      </c>
    </row>
    <row r="16" spans="1:3" x14ac:dyDescent="0.25">
      <c r="A16" s="9" t="s">
        <v>26</v>
      </c>
      <c r="B16" s="10" t="s">
        <v>27</v>
      </c>
      <c r="C16" s="11">
        <f>COUNTIF('طلبات الخدمة · Service'!G:G,"ai-sales")</f>
      </c>
    </row>
    <row r="18" ht="28" customHeight="1" spans="1:1" x14ac:dyDescent="0.25">
      <c r="A18" s="8" t="s">
        <v>28</v>
      </c>
    </row>
    <row r="19" spans="1:3" x14ac:dyDescent="0.25">
      <c r="A19" s="9" t="s">
        <v>29</v>
      </c>
      <c r="B19" s="10" t="s">
        <v>30</v>
      </c>
      <c r="C19" s="11">
        <f>COUNTIF('المسوقين · Marketers'!H:H,"seo")</f>
      </c>
    </row>
    <row r="20" spans="1:3" x14ac:dyDescent="0.25">
      <c r="A20" s="9" t="s">
        <v>31</v>
      </c>
      <c r="B20" s="10" t="s">
        <v>32</v>
      </c>
      <c r="C20" s="11">
        <f>COUNTIF('المسوقين · Marketers'!H:H,"campaigns")</f>
      </c>
    </row>
    <row r="21" spans="1:3" x14ac:dyDescent="0.25">
      <c r="A21" s="9" t="s">
        <v>33</v>
      </c>
      <c r="B21" s="10" t="s">
        <v>34</v>
      </c>
      <c r="C21" s="11">
        <f>COUNTIF('المسوقين · Marketers'!H:H,"basic")</f>
      </c>
    </row>
    <row r="22" spans="1:3" x14ac:dyDescent="0.25">
      <c r="A22" s="9" t="s">
        <v>35</v>
      </c>
      <c r="B22" s="10" t="s">
        <v>36</v>
      </c>
      <c r="C22" s="11">
        <f>COUNTIF('المسوقين · Marketers'!H:H,"pro")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3F40"/>
  </sheetPr>
  <dimension ref="A1:R1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2" customWidth="1"/>
    <col min="2" max="2" width="20" style="13" customWidth="1"/>
    <col min="3" max="3" width="26" style="13" customWidth="1"/>
    <col min="4" max="4" width="20" style="13" customWidth="1"/>
    <col min="5" max="5" width="28" style="13" customWidth="1"/>
    <col min="6" max="6" width="52" style="13" customWidth="1"/>
    <col min="7" max="7" width="14" style="13" customWidth="1"/>
    <col min="8" max="9" width="30" style="13" customWidth="1"/>
    <col min="10" max="11" width="16" style="13" customWidth="1"/>
    <col min="12" max="12" width="18" style="13" customWidth="1"/>
    <col min="13" max="13" width="32" style="13" customWidth="1"/>
    <col min="14" max="14" width="20" style="13" customWidth="1"/>
    <col min="15" max="15" width="22" style="13" customWidth="1"/>
    <col min="16" max="16" width="20" style="13" customWidth="1"/>
    <col min="17" max="17" width="18" style="13" customWidth="1"/>
    <col min="18" max="18" width="36" style="13" customWidth="1"/>
  </cols>
  <sheetData>
    <row r="1" ht="44" customHeight="1" spans="1:18" x14ac:dyDescent="0.25">
      <c r="A1" s="14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7" t="s">
        <v>52</v>
      </c>
      <c r="Q1" s="17" t="s">
        <v>53</v>
      </c>
      <c r="R1" s="17" t="s">
        <v>54</v>
      </c>
    </row>
  </sheetData>
  <autoFilter ref="A1:R1"/>
  <dataValidations count="1">
    <dataValidation type="list" allowBlank="1" sqref="P2:P5000">
      <formula1>"جديد,تم التواصل,مؤهل,غير مؤهل,تم الإغلاق"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3F40"/>
  </sheetPr>
  <dimension ref="A1:U1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2" customWidth="1"/>
    <col min="2" max="2" width="20" style="13" customWidth="1"/>
    <col min="3" max="3" width="26" style="13" customWidth="1"/>
    <col min="4" max="4" width="20" style="13" customWidth="1"/>
    <col min="5" max="6" width="28" style="13" customWidth="1"/>
    <col min="7" max="7" width="22" style="13" customWidth="1"/>
    <col min="8" max="8" width="26" style="13" customWidth="1"/>
    <col min="9" max="9" width="40" style="13" customWidth="1"/>
    <col min="10" max="10" width="14" style="13" customWidth="1"/>
    <col min="11" max="12" width="30" style="13" customWidth="1"/>
    <col min="13" max="14" width="16" style="13" customWidth="1"/>
    <col min="15" max="15" width="18" style="13" customWidth="1"/>
    <col min="16" max="16" width="32" style="13" customWidth="1"/>
    <col min="17" max="17" width="20" style="13" customWidth="1"/>
    <col min="18" max="18" width="22" style="13" customWidth="1"/>
    <col min="19" max="19" width="20" style="13" customWidth="1"/>
    <col min="20" max="20" width="18" style="13" customWidth="1"/>
    <col min="21" max="21" width="36" style="13" customWidth="1"/>
  </cols>
  <sheetData>
    <row r="1" ht="44" customHeight="1" spans="1:21" x14ac:dyDescent="0.25">
      <c r="A1" s="14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55</v>
      </c>
      <c r="G1" s="15" t="s">
        <v>56</v>
      </c>
      <c r="H1" s="15" t="s">
        <v>57</v>
      </c>
      <c r="I1" s="15" t="s">
        <v>58</v>
      </c>
      <c r="J1" s="16" t="s">
        <v>43</v>
      </c>
      <c r="K1" s="16" t="s">
        <v>44</v>
      </c>
      <c r="L1" s="16" t="s">
        <v>45</v>
      </c>
      <c r="M1" s="16" t="s">
        <v>46</v>
      </c>
      <c r="N1" s="16" t="s">
        <v>47</v>
      </c>
      <c r="O1" s="16" t="s">
        <v>48</v>
      </c>
      <c r="P1" s="16" t="s">
        <v>49</v>
      </c>
      <c r="Q1" s="16" t="s">
        <v>50</v>
      </c>
      <c r="R1" s="16" t="s">
        <v>51</v>
      </c>
      <c r="S1" s="17" t="s">
        <v>52</v>
      </c>
      <c r="T1" s="17" t="s">
        <v>53</v>
      </c>
      <c r="U1" s="17" t="s">
        <v>54</v>
      </c>
    </row>
  </sheetData>
  <autoFilter ref="A1:U1"/>
  <dataValidations count="1">
    <dataValidation type="list" allowBlank="1" sqref="S2:S5000">
      <formula1>"جديد,تم التواصل,مؤهل,غير مؤهل,تم الإغلاق"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3F40"/>
  </sheetPr>
  <dimension ref="A1:V1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2" customWidth="1"/>
    <col min="2" max="2" width="20" style="13" customWidth="1"/>
    <col min="3" max="3" width="26" style="13" customWidth="1"/>
    <col min="4" max="4" width="20" style="13" customWidth="1"/>
    <col min="5" max="5" width="28" style="13" customWidth="1"/>
    <col min="6" max="6" width="20" style="13" customWidth="1"/>
    <col min="7" max="7" width="30" style="13" customWidth="1"/>
    <col min="8" max="8" width="22" style="13" customWidth="1"/>
    <col min="9" max="9" width="34" style="13" customWidth="1"/>
    <col min="10" max="10" width="40" style="13" customWidth="1"/>
    <col min="11" max="11" width="14" style="13" customWidth="1"/>
    <col min="12" max="13" width="30" style="13" customWidth="1"/>
    <col min="14" max="15" width="16" style="13" customWidth="1"/>
    <col min="16" max="16" width="18" style="13" customWidth="1"/>
    <col min="17" max="17" width="32" style="13" customWidth="1"/>
    <col min="18" max="18" width="20" style="13" customWidth="1"/>
    <col min="19" max="19" width="22" style="13" customWidth="1"/>
    <col min="20" max="20" width="20" style="13" customWidth="1"/>
    <col min="21" max="21" width="18" style="13" customWidth="1"/>
    <col min="22" max="22" width="36" style="13" customWidth="1"/>
  </cols>
  <sheetData>
    <row r="1" ht="44" customHeight="1" spans="1:22" x14ac:dyDescent="0.25">
      <c r="A1" s="14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59</v>
      </c>
      <c r="G1" s="15" t="s">
        <v>60</v>
      </c>
      <c r="H1" s="15" t="s">
        <v>61</v>
      </c>
      <c r="I1" s="15" t="s">
        <v>62</v>
      </c>
      <c r="J1" s="15" t="s">
        <v>58</v>
      </c>
      <c r="K1" s="16" t="s">
        <v>43</v>
      </c>
      <c r="L1" s="16" t="s">
        <v>44</v>
      </c>
      <c r="M1" s="16" t="s">
        <v>45</v>
      </c>
      <c r="N1" s="16" t="s">
        <v>46</v>
      </c>
      <c r="O1" s="16" t="s">
        <v>47</v>
      </c>
      <c r="P1" s="16" t="s">
        <v>48</v>
      </c>
      <c r="Q1" s="16" t="s">
        <v>49</v>
      </c>
      <c r="R1" s="16" t="s">
        <v>50</v>
      </c>
      <c r="S1" s="16" t="s">
        <v>51</v>
      </c>
      <c r="T1" s="17" t="s">
        <v>52</v>
      </c>
      <c r="U1" s="17" t="s">
        <v>53</v>
      </c>
      <c r="V1" s="17" t="s">
        <v>54</v>
      </c>
    </row>
  </sheetData>
  <autoFilter ref="A1:V1"/>
  <dataValidations count="1">
    <dataValidation type="list" allowBlank="1" sqref="T2:T5000">
      <formula1>"جديد,تم التواصل,مؤهل,غير مؤهل,تم الإغلاق"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3F40"/>
  </sheetPr>
  <dimension ref="A1:W1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2" customWidth="1"/>
    <col min="2" max="2" width="20" style="13" customWidth="1"/>
    <col min="3" max="3" width="26" style="13" customWidth="1"/>
    <col min="4" max="4" width="20" style="13" customWidth="1"/>
    <col min="5" max="6" width="28" style="13" customWidth="1"/>
    <col min="7" max="7" width="22" style="13" customWidth="1"/>
    <col min="8" max="10" width="34" style="13" customWidth="1"/>
    <col min="11" max="11" width="46" style="13" customWidth="1"/>
    <col min="12" max="12" width="14" style="13" customWidth="1"/>
    <col min="13" max="14" width="30" style="13" customWidth="1"/>
    <col min="15" max="16" width="16" style="13" customWidth="1"/>
    <col min="17" max="17" width="18" style="13" customWidth="1"/>
    <col min="18" max="18" width="32" style="13" customWidth="1"/>
    <col min="19" max="19" width="20" style="13" customWidth="1"/>
    <col min="20" max="20" width="22" style="13" customWidth="1"/>
    <col min="21" max="21" width="20" style="13" customWidth="1"/>
    <col min="22" max="22" width="18" style="13" customWidth="1"/>
    <col min="23" max="23" width="36" style="13" customWidth="1"/>
  </cols>
  <sheetData>
    <row r="1" ht="44" customHeight="1" spans="1:23" x14ac:dyDescent="0.25">
      <c r="A1" s="14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63</v>
      </c>
      <c r="G1" s="15" t="s">
        <v>64</v>
      </c>
      <c r="H1" s="15" t="s">
        <v>65</v>
      </c>
      <c r="I1" s="15" t="s">
        <v>66</v>
      </c>
      <c r="J1" s="15" t="s">
        <v>67</v>
      </c>
      <c r="K1" s="15" t="s">
        <v>68</v>
      </c>
      <c r="L1" s="16" t="s">
        <v>43</v>
      </c>
      <c r="M1" s="16" t="s">
        <v>44</v>
      </c>
      <c r="N1" s="16" t="s">
        <v>45</v>
      </c>
      <c r="O1" s="16" t="s">
        <v>46</v>
      </c>
      <c r="P1" s="16" t="s">
        <v>47</v>
      </c>
      <c r="Q1" s="16" t="s">
        <v>48</v>
      </c>
      <c r="R1" s="16" t="s">
        <v>49</v>
      </c>
      <c r="S1" s="16" t="s">
        <v>50</v>
      </c>
      <c r="T1" s="16" t="s">
        <v>51</v>
      </c>
      <c r="U1" s="17" t="s">
        <v>52</v>
      </c>
      <c r="V1" s="17" t="s">
        <v>53</v>
      </c>
      <c r="W1" s="17" t="s">
        <v>54</v>
      </c>
    </row>
  </sheetData>
  <autoFilter ref="A1:W1"/>
  <dataValidations count="1">
    <dataValidation type="list" allowBlank="1" sqref="U2:U5000">
      <formula1>"جديد,تم التواصل,مؤهل,غير مؤهل,تم الإغلاق"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CFCF"/>
  </sheetPr>
  <dimension ref="A1:G102"/>
  <sheetViews>
    <sheetView workbookViewId="0" rightToLeft="1" showGridLines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6" customWidth="1"/>
    <col min="2" max="2" width="22" customWidth="1"/>
    <col min="3" max="3" width="10" customWidth="1"/>
    <col min="4" max="4" width="34" customWidth="1"/>
    <col min="5" max="5" width="28" customWidth="1"/>
    <col min="6" max="6" width="14" customWidth="1"/>
    <col min="7" max="7" width="34" customWidth="1"/>
  </cols>
  <sheetData>
    <row r="1" ht="34" customHeight="1" spans="1:7" x14ac:dyDescent="0.25">
      <c r="A1" s="18" t="s">
        <v>3</v>
      </c>
      <c r="B1" s="18" t="s">
        <v>69</v>
      </c>
      <c r="C1" s="18" t="s">
        <v>70</v>
      </c>
      <c r="D1" s="18" t="s">
        <v>71</v>
      </c>
      <c r="E1" s="18" t="s">
        <v>72</v>
      </c>
      <c r="F1" s="18" t="s">
        <v>73</v>
      </c>
      <c r="G1" s="18" t="s">
        <v>74</v>
      </c>
    </row>
    <row r="2" ht="26" customHeight="1" spans="1:7" x14ac:dyDescent="0.25">
      <c r="A2" s="19" t="s">
        <v>9</v>
      </c>
      <c r="B2" s="19" t="s">
        <v>75</v>
      </c>
      <c r="C2" s="19"/>
      <c r="D2" s="19" t="s">
        <v>76</v>
      </c>
      <c r="E2" s="19"/>
      <c r="F2" s="19"/>
      <c r="G2" s="19"/>
    </row>
    <row r="3" spans="1:7" x14ac:dyDescent="0.25">
      <c r="A3" s="20"/>
      <c r="B3" s="20"/>
      <c r="C3" s="21" t="s">
        <v>77</v>
      </c>
      <c r="D3" s="20" t="s">
        <v>37</v>
      </c>
      <c r="E3" s="20" t="s">
        <v>78</v>
      </c>
      <c r="F3" s="20" t="s">
        <v>79</v>
      </c>
      <c r="G3" s="20" t="s">
        <v>80</v>
      </c>
    </row>
    <row r="4" spans="1:7" x14ac:dyDescent="0.25">
      <c r="A4" s="20"/>
      <c r="B4" s="20"/>
      <c r="C4" s="21" t="s">
        <v>81</v>
      </c>
      <c r="D4" s="20" t="s">
        <v>38</v>
      </c>
      <c r="E4" s="20" t="s">
        <v>82</v>
      </c>
      <c r="F4" s="20" t="s">
        <v>79</v>
      </c>
      <c r="G4" s="20" t="s">
        <v>83</v>
      </c>
    </row>
    <row r="5" spans="1:7" x14ac:dyDescent="0.25">
      <c r="A5" s="20"/>
      <c r="B5" s="20"/>
      <c r="C5" s="21" t="s">
        <v>84</v>
      </c>
      <c r="D5" s="20" t="s">
        <v>39</v>
      </c>
      <c r="E5" s="20" t="s">
        <v>85</v>
      </c>
      <c r="F5" s="20" t="s">
        <v>86</v>
      </c>
      <c r="G5" s="20" t="s">
        <v>87</v>
      </c>
    </row>
    <row r="6" spans="1:7" x14ac:dyDescent="0.25">
      <c r="A6" s="20"/>
      <c r="B6" s="20"/>
      <c r="C6" s="21" t="s">
        <v>88</v>
      </c>
      <c r="D6" s="20" t="s">
        <v>40</v>
      </c>
      <c r="E6" s="20" t="s">
        <v>89</v>
      </c>
      <c r="F6" s="20" t="s">
        <v>86</v>
      </c>
      <c r="G6" s="20" t="s">
        <v>90</v>
      </c>
    </row>
    <row r="7" spans="1:7" x14ac:dyDescent="0.25">
      <c r="A7" s="20"/>
      <c r="B7" s="20"/>
      <c r="C7" s="21" t="s">
        <v>91</v>
      </c>
      <c r="D7" s="20" t="s">
        <v>41</v>
      </c>
      <c r="E7" s="20" t="s">
        <v>92</v>
      </c>
      <c r="F7" s="20" t="s">
        <v>93</v>
      </c>
      <c r="G7" s="20" t="s">
        <v>94</v>
      </c>
    </row>
    <row r="8" spans="1:7" x14ac:dyDescent="0.25">
      <c r="A8" s="20"/>
      <c r="B8" s="20"/>
      <c r="C8" s="21" t="s">
        <v>95</v>
      </c>
      <c r="D8" s="20" t="s">
        <v>42</v>
      </c>
      <c r="E8" s="20" t="s">
        <v>96</v>
      </c>
      <c r="F8" s="20" t="s">
        <v>93</v>
      </c>
      <c r="G8" s="20" t="s">
        <v>97</v>
      </c>
    </row>
    <row r="9" spans="1:7" x14ac:dyDescent="0.25">
      <c r="A9" s="20"/>
      <c r="B9" s="20"/>
      <c r="C9" s="21" t="s">
        <v>98</v>
      </c>
      <c r="D9" s="20" t="s">
        <v>43</v>
      </c>
      <c r="E9" s="20" t="s">
        <v>99</v>
      </c>
      <c r="F9" s="20" t="s">
        <v>79</v>
      </c>
      <c r="G9" s="20" t="s">
        <v>100</v>
      </c>
    </row>
    <row r="10" spans="1:7" x14ac:dyDescent="0.25">
      <c r="A10" s="20"/>
      <c r="B10" s="20"/>
      <c r="C10" s="21" t="s">
        <v>101</v>
      </c>
      <c r="D10" s="20" t="s">
        <v>44</v>
      </c>
      <c r="E10" s="20" t="s">
        <v>102</v>
      </c>
      <c r="F10" s="20" t="s">
        <v>79</v>
      </c>
      <c r="G10" s="20" t="s">
        <v>103</v>
      </c>
    </row>
    <row r="11" spans="1:7" x14ac:dyDescent="0.25">
      <c r="A11" s="20"/>
      <c r="B11" s="20"/>
      <c r="C11" s="21" t="s">
        <v>104</v>
      </c>
      <c r="D11" s="20" t="s">
        <v>45</v>
      </c>
      <c r="E11" s="20" t="s">
        <v>105</v>
      </c>
      <c r="F11" s="20" t="s">
        <v>79</v>
      </c>
      <c r="G11" s="20" t="s">
        <v>106</v>
      </c>
    </row>
    <row r="12" spans="1:7" x14ac:dyDescent="0.25">
      <c r="A12" s="20"/>
      <c r="B12" s="20"/>
      <c r="C12" s="21" t="s">
        <v>107</v>
      </c>
      <c r="D12" s="20" t="s">
        <v>46</v>
      </c>
      <c r="E12" s="20" t="s">
        <v>108</v>
      </c>
      <c r="F12" s="20" t="s">
        <v>79</v>
      </c>
      <c r="G12" s="20" t="s">
        <v>109</v>
      </c>
    </row>
    <row r="13" spans="1:7" x14ac:dyDescent="0.25">
      <c r="A13" s="20"/>
      <c r="B13" s="20"/>
      <c r="C13" s="21" t="s">
        <v>110</v>
      </c>
      <c r="D13" s="20" t="s">
        <v>47</v>
      </c>
      <c r="E13" s="20" t="s">
        <v>111</v>
      </c>
      <c r="F13" s="20" t="s">
        <v>79</v>
      </c>
      <c r="G13" s="20" t="s">
        <v>112</v>
      </c>
    </row>
    <row r="14" spans="1:7" x14ac:dyDescent="0.25">
      <c r="A14" s="20"/>
      <c r="B14" s="20"/>
      <c r="C14" s="21" t="s">
        <v>113</v>
      </c>
      <c r="D14" s="20" t="s">
        <v>48</v>
      </c>
      <c r="E14" s="20" t="s">
        <v>114</v>
      </c>
      <c r="F14" s="20" t="s">
        <v>79</v>
      </c>
      <c r="G14" s="20" t="s">
        <v>115</v>
      </c>
    </row>
    <row r="15" spans="1:7" x14ac:dyDescent="0.25">
      <c r="A15" s="20"/>
      <c r="B15" s="20"/>
      <c r="C15" s="21" t="s">
        <v>116</v>
      </c>
      <c r="D15" s="20" t="s">
        <v>49</v>
      </c>
      <c r="E15" s="20" t="s">
        <v>117</v>
      </c>
      <c r="F15" s="20" t="s">
        <v>79</v>
      </c>
      <c r="G15" s="20" t="s">
        <v>118</v>
      </c>
    </row>
    <row r="16" spans="1:7" x14ac:dyDescent="0.25">
      <c r="A16" s="20"/>
      <c r="B16" s="20"/>
      <c r="C16" s="21" t="s">
        <v>119</v>
      </c>
      <c r="D16" s="20" t="s">
        <v>50</v>
      </c>
      <c r="E16" s="20" t="s">
        <v>120</v>
      </c>
      <c r="F16" s="20" t="s">
        <v>79</v>
      </c>
      <c r="G16" s="20" t="s">
        <v>121</v>
      </c>
    </row>
    <row r="17" spans="1:7" x14ac:dyDescent="0.25">
      <c r="A17" s="20"/>
      <c r="B17" s="20"/>
      <c r="C17" s="21" t="s">
        <v>122</v>
      </c>
      <c r="D17" s="20" t="s">
        <v>51</v>
      </c>
      <c r="E17" s="20" t="s">
        <v>123</v>
      </c>
      <c r="F17" s="20" t="s">
        <v>79</v>
      </c>
      <c r="G17" s="20" t="s">
        <v>124</v>
      </c>
    </row>
    <row r="18" spans="1:7" x14ac:dyDescent="0.25">
      <c r="A18" s="20"/>
      <c r="B18" s="20"/>
      <c r="C18" s="21" t="s">
        <v>125</v>
      </c>
      <c r="D18" s="20" t="s">
        <v>52</v>
      </c>
      <c r="E18" s="20" t="s">
        <v>126</v>
      </c>
      <c r="F18" s="20" t="s">
        <v>127</v>
      </c>
      <c r="G18" s="20" t="s">
        <v>128</v>
      </c>
    </row>
    <row r="19" spans="1:7" x14ac:dyDescent="0.25">
      <c r="A19" s="20"/>
      <c r="B19" s="20"/>
      <c r="C19" s="21" t="s">
        <v>129</v>
      </c>
      <c r="D19" s="20" t="s">
        <v>53</v>
      </c>
      <c r="E19" s="20" t="s">
        <v>126</v>
      </c>
      <c r="F19" s="20" t="s">
        <v>127</v>
      </c>
      <c r="G19" s="20" t="s">
        <v>130</v>
      </c>
    </row>
    <row r="20" spans="1:7" x14ac:dyDescent="0.25">
      <c r="A20" s="20"/>
      <c r="B20" s="20"/>
      <c r="C20" s="21" t="s">
        <v>131</v>
      </c>
      <c r="D20" s="20" t="s">
        <v>54</v>
      </c>
      <c r="E20" s="20" t="s">
        <v>126</v>
      </c>
      <c r="F20" s="20" t="s">
        <v>127</v>
      </c>
      <c r="G20" s="20" t="s">
        <v>132</v>
      </c>
    </row>
    <row r="22" ht="26" customHeight="1" spans="1:7" x14ac:dyDescent="0.25">
      <c r="A22" s="19" t="s">
        <v>11</v>
      </c>
      <c r="B22" s="19" t="s">
        <v>133</v>
      </c>
      <c r="C22" s="19"/>
      <c r="D22" s="19" t="s">
        <v>134</v>
      </c>
      <c r="E22" s="19"/>
      <c r="F22" s="19"/>
      <c r="G22" s="19"/>
    </row>
    <row r="23" spans="1:7" x14ac:dyDescent="0.25">
      <c r="A23" s="20"/>
      <c r="B23" s="20"/>
      <c r="C23" s="21" t="s">
        <v>77</v>
      </c>
      <c r="D23" s="20" t="s">
        <v>37</v>
      </c>
      <c r="E23" s="20" t="s">
        <v>78</v>
      </c>
      <c r="F23" s="20" t="s">
        <v>79</v>
      </c>
      <c r="G23" s="20" t="s">
        <v>80</v>
      </c>
    </row>
    <row r="24" spans="1:7" x14ac:dyDescent="0.25">
      <c r="A24" s="20"/>
      <c r="B24" s="20"/>
      <c r="C24" s="21" t="s">
        <v>81</v>
      </c>
      <c r="D24" s="20" t="s">
        <v>38</v>
      </c>
      <c r="E24" s="20" t="s">
        <v>82</v>
      </c>
      <c r="F24" s="20" t="s">
        <v>79</v>
      </c>
      <c r="G24" s="20" t="s">
        <v>83</v>
      </c>
    </row>
    <row r="25" spans="1:7" x14ac:dyDescent="0.25">
      <c r="A25" s="20"/>
      <c r="B25" s="20"/>
      <c r="C25" s="21" t="s">
        <v>84</v>
      </c>
      <c r="D25" s="20" t="s">
        <v>39</v>
      </c>
      <c r="E25" s="20" t="s">
        <v>85</v>
      </c>
      <c r="F25" s="20" t="s">
        <v>86</v>
      </c>
      <c r="G25" s="20" t="s">
        <v>87</v>
      </c>
    </row>
    <row r="26" spans="1:7" x14ac:dyDescent="0.25">
      <c r="A26" s="20"/>
      <c r="B26" s="20"/>
      <c r="C26" s="21" t="s">
        <v>88</v>
      </c>
      <c r="D26" s="20" t="s">
        <v>40</v>
      </c>
      <c r="E26" s="20" t="s">
        <v>89</v>
      </c>
      <c r="F26" s="20" t="s">
        <v>86</v>
      </c>
      <c r="G26" s="20" t="s">
        <v>90</v>
      </c>
    </row>
    <row r="27" spans="1:7" x14ac:dyDescent="0.25">
      <c r="A27" s="20"/>
      <c r="B27" s="20"/>
      <c r="C27" s="21" t="s">
        <v>91</v>
      </c>
      <c r="D27" s="20" t="s">
        <v>41</v>
      </c>
      <c r="E27" s="20" t="s">
        <v>92</v>
      </c>
      <c r="F27" s="20" t="s">
        <v>93</v>
      </c>
      <c r="G27" s="20" t="s">
        <v>94</v>
      </c>
    </row>
    <row r="28" spans="1:7" x14ac:dyDescent="0.25">
      <c r="A28" s="20"/>
      <c r="B28" s="20"/>
      <c r="C28" s="21" t="s">
        <v>95</v>
      </c>
      <c r="D28" s="20" t="s">
        <v>55</v>
      </c>
      <c r="E28" s="20" t="s">
        <v>135</v>
      </c>
      <c r="F28" s="20" t="s">
        <v>86</v>
      </c>
      <c r="G28" s="20" t="s">
        <v>20</v>
      </c>
    </row>
    <row r="29" spans="1:7" x14ac:dyDescent="0.25">
      <c r="A29" s="20"/>
      <c r="B29" s="20"/>
      <c r="C29" s="21" t="s">
        <v>98</v>
      </c>
      <c r="D29" s="20" t="s">
        <v>56</v>
      </c>
      <c r="E29" s="20" t="s">
        <v>136</v>
      </c>
      <c r="F29" s="20" t="s">
        <v>86</v>
      </c>
      <c r="G29" s="20" t="s">
        <v>21</v>
      </c>
    </row>
    <row r="30" spans="1:7" x14ac:dyDescent="0.25">
      <c r="A30" s="20"/>
      <c r="B30" s="20"/>
      <c r="C30" s="21" t="s">
        <v>101</v>
      </c>
      <c r="D30" s="20" t="s">
        <v>57</v>
      </c>
      <c r="E30" s="20" t="s">
        <v>137</v>
      </c>
      <c r="F30" s="20" t="s">
        <v>93</v>
      </c>
      <c r="G30" s="20" t="s">
        <v>138</v>
      </c>
    </row>
    <row r="31" spans="1:7" x14ac:dyDescent="0.25">
      <c r="A31" s="20"/>
      <c r="B31" s="20"/>
      <c r="C31" s="21" t="s">
        <v>104</v>
      </c>
      <c r="D31" s="20" t="s">
        <v>58</v>
      </c>
      <c r="E31" s="20" t="s">
        <v>139</v>
      </c>
      <c r="F31" s="20" t="s">
        <v>93</v>
      </c>
      <c r="G31" s="20" t="s">
        <v>140</v>
      </c>
    </row>
    <row r="32" spans="1:7" x14ac:dyDescent="0.25">
      <c r="A32" s="20"/>
      <c r="B32" s="20"/>
      <c r="C32" s="21" t="s">
        <v>107</v>
      </c>
      <c r="D32" s="20" t="s">
        <v>43</v>
      </c>
      <c r="E32" s="20" t="s">
        <v>99</v>
      </c>
      <c r="F32" s="20" t="s">
        <v>79</v>
      </c>
      <c r="G32" s="20" t="s">
        <v>100</v>
      </c>
    </row>
    <row r="33" spans="1:7" x14ac:dyDescent="0.25">
      <c r="A33" s="20"/>
      <c r="B33" s="20"/>
      <c r="C33" s="21" t="s">
        <v>110</v>
      </c>
      <c r="D33" s="20" t="s">
        <v>44</v>
      </c>
      <c r="E33" s="20" t="s">
        <v>102</v>
      </c>
      <c r="F33" s="20" t="s">
        <v>79</v>
      </c>
      <c r="G33" s="20" t="s">
        <v>141</v>
      </c>
    </row>
    <row r="34" spans="1:7" x14ac:dyDescent="0.25">
      <c r="A34" s="20"/>
      <c r="B34" s="20"/>
      <c r="C34" s="21" t="s">
        <v>113</v>
      </c>
      <c r="D34" s="20" t="s">
        <v>45</v>
      </c>
      <c r="E34" s="20" t="s">
        <v>105</v>
      </c>
      <c r="F34" s="20" t="s">
        <v>79</v>
      </c>
      <c r="G34" s="20" t="s">
        <v>106</v>
      </c>
    </row>
    <row r="35" spans="1:7" x14ac:dyDescent="0.25">
      <c r="A35" s="20"/>
      <c r="B35" s="20"/>
      <c r="C35" s="21" t="s">
        <v>116</v>
      </c>
      <c r="D35" s="20" t="s">
        <v>46</v>
      </c>
      <c r="E35" s="20" t="s">
        <v>108</v>
      </c>
      <c r="F35" s="20" t="s">
        <v>79</v>
      </c>
      <c r="G35" s="20" t="s">
        <v>109</v>
      </c>
    </row>
    <row r="36" spans="1:7" x14ac:dyDescent="0.25">
      <c r="A36" s="20"/>
      <c r="B36" s="20"/>
      <c r="C36" s="21" t="s">
        <v>119</v>
      </c>
      <c r="D36" s="20" t="s">
        <v>47</v>
      </c>
      <c r="E36" s="20" t="s">
        <v>111</v>
      </c>
      <c r="F36" s="20" t="s">
        <v>79</v>
      </c>
      <c r="G36" s="20" t="s">
        <v>112</v>
      </c>
    </row>
    <row r="37" spans="1:7" x14ac:dyDescent="0.25">
      <c r="A37" s="20"/>
      <c r="B37" s="20"/>
      <c r="C37" s="21" t="s">
        <v>122</v>
      </c>
      <c r="D37" s="20" t="s">
        <v>48</v>
      </c>
      <c r="E37" s="20" t="s">
        <v>114</v>
      </c>
      <c r="F37" s="20" t="s">
        <v>79</v>
      </c>
      <c r="G37" s="20" t="s">
        <v>115</v>
      </c>
    </row>
    <row r="38" spans="1:7" x14ac:dyDescent="0.25">
      <c r="A38" s="20"/>
      <c r="B38" s="20"/>
      <c r="C38" s="21" t="s">
        <v>125</v>
      </c>
      <c r="D38" s="20" t="s">
        <v>49</v>
      </c>
      <c r="E38" s="20" t="s">
        <v>117</v>
      </c>
      <c r="F38" s="20" t="s">
        <v>79</v>
      </c>
      <c r="G38" s="20" t="s">
        <v>118</v>
      </c>
    </row>
    <row r="39" spans="1:7" x14ac:dyDescent="0.25">
      <c r="A39" s="20"/>
      <c r="B39" s="20"/>
      <c r="C39" s="21" t="s">
        <v>129</v>
      </c>
      <c r="D39" s="20" t="s">
        <v>50</v>
      </c>
      <c r="E39" s="20" t="s">
        <v>120</v>
      </c>
      <c r="F39" s="20" t="s">
        <v>79</v>
      </c>
      <c r="G39" s="20" t="s">
        <v>121</v>
      </c>
    </row>
    <row r="40" spans="1:7" x14ac:dyDescent="0.25">
      <c r="A40" s="20"/>
      <c r="B40" s="20"/>
      <c r="C40" s="21" t="s">
        <v>131</v>
      </c>
      <c r="D40" s="20" t="s">
        <v>51</v>
      </c>
      <c r="E40" s="20" t="s">
        <v>123</v>
      </c>
      <c r="F40" s="20" t="s">
        <v>79</v>
      </c>
      <c r="G40" s="20" t="s">
        <v>124</v>
      </c>
    </row>
    <row r="41" spans="1:7" x14ac:dyDescent="0.25">
      <c r="A41" s="20"/>
      <c r="B41" s="20"/>
      <c r="C41" s="21" t="s">
        <v>142</v>
      </c>
      <c r="D41" s="20" t="s">
        <v>52</v>
      </c>
      <c r="E41" s="20" t="s">
        <v>126</v>
      </c>
      <c r="F41" s="20" t="s">
        <v>127</v>
      </c>
      <c r="G41" s="20" t="s">
        <v>128</v>
      </c>
    </row>
    <row r="42" spans="1:7" x14ac:dyDescent="0.25">
      <c r="A42" s="20"/>
      <c r="B42" s="20"/>
      <c r="C42" s="21" t="s">
        <v>143</v>
      </c>
      <c r="D42" s="20" t="s">
        <v>53</v>
      </c>
      <c r="E42" s="20" t="s">
        <v>126</v>
      </c>
      <c r="F42" s="20" t="s">
        <v>127</v>
      </c>
      <c r="G42" s="20" t="s">
        <v>130</v>
      </c>
    </row>
    <row r="43" spans="1:7" x14ac:dyDescent="0.25">
      <c r="A43" s="20"/>
      <c r="B43" s="20"/>
      <c r="C43" s="21" t="s">
        <v>144</v>
      </c>
      <c r="D43" s="20" t="s">
        <v>54</v>
      </c>
      <c r="E43" s="20" t="s">
        <v>126</v>
      </c>
      <c r="F43" s="20" t="s">
        <v>127</v>
      </c>
      <c r="G43" s="20" t="s">
        <v>132</v>
      </c>
    </row>
    <row r="45" ht="26" customHeight="1" spans="1:7" x14ac:dyDescent="0.25">
      <c r="A45" s="19" t="s">
        <v>13</v>
      </c>
      <c r="B45" s="19" t="s">
        <v>145</v>
      </c>
      <c r="C45" s="19"/>
      <c r="D45" s="19" t="s">
        <v>146</v>
      </c>
      <c r="E45" s="19"/>
      <c r="F45" s="19"/>
      <c r="G45" s="19"/>
    </row>
    <row r="46" spans="1:7" x14ac:dyDescent="0.25">
      <c r="A46" s="20"/>
      <c r="B46" s="20"/>
      <c r="C46" s="21" t="s">
        <v>77</v>
      </c>
      <c r="D46" s="20" t="s">
        <v>37</v>
      </c>
      <c r="E46" s="20" t="s">
        <v>78</v>
      </c>
      <c r="F46" s="20" t="s">
        <v>79</v>
      </c>
      <c r="G46" s="20" t="s">
        <v>80</v>
      </c>
    </row>
    <row r="47" spans="1:7" x14ac:dyDescent="0.25">
      <c r="A47" s="20"/>
      <c r="B47" s="20"/>
      <c r="C47" s="21" t="s">
        <v>81</v>
      </c>
      <c r="D47" s="20" t="s">
        <v>38</v>
      </c>
      <c r="E47" s="20" t="s">
        <v>82</v>
      </c>
      <c r="F47" s="20" t="s">
        <v>79</v>
      </c>
      <c r="G47" s="20" t="s">
        <v>83</v>
      </c>
    </row>
    <row r="48" spans="1:7" x14ac:dyDescent="0.25">
      <c r="A48" s="20"/>
      <c r="B48" s="20"/>
      <c r="C48" s="21" t="s">
        <v>84</v>
      </c>
      <c r="D48" s="20" t="s">
        <v>39</v>
      </c>
      <c r="E48" s="20" t="s">
        <v>85</v>
      </c>
      <c r="F48" s="20" t="s">
        <v>86</v>
      </c>
      <c r="G48" s="20" t="s">
        <v>87</v>
      </c>
    </row>
    <row r="49" spans="1:7" x14ac:dyDescent="0.25">
      <c r="A49" s="20"/>
      <c r="B49" s="20"/>
      <c r="C49" s="21" t="s">
        <v>88</v>
      </c>
      <c r="D49" s="20" t="s">
        <v>40</v>
      </c>
      <c r="E49" s="20" t="s">
        <v>89</v>
      </c>
      <c r="F49" s="20" t="s">
        <v>86</v>
      </c>
      <c r="G49" s="20" t="s">
        <v>90</v>
      </c>
    </row>
    <row r="50" spans="1:7" x14ac:dyDescent="0.25">
      <c r="A50" s="20"/>
      <c r="B50" s="20"/>
      <c r="C50" s="21" t="s">
        <v>91</v>
      </c>
      <c r="D50" s="20" t="s">
        <v>41</v>
      </c>
      <c r="E50" s="20" t="s">
        <v>92</v>
      </c>
      <c r="F50" s="20" t="s">
        <v>93</v>
      </c>
      <c r="G50" s="20" t="s">
        <v>94</v>
      </c>
    </row>
    <row r="51" spans="1:7" x14ac:dyDescent="0.25">
      <c r="A51" s="20"/>
      <c r="B51" s="20"/>
      <c r="C51" s="21" t="s">
        <v>95</v>
      </c>
      <c r="D51" s="20" t="s">
        <v>59</v>
      </c>
      <c r="E51" s="20" t="s">
        <v>147</v>
      </c>
      <c r="F51" s="20" t="s">
        <v>79</v>
      </c>
      <c r="G51" s="20" t="s">
        <v>148</v>
      </c>
    </row>
    <row r="52" spans="1:7" x14ac:dyDescent="0.25">
      <c r="A52" s="20"/>
      <c r="B52" s="20"/>
      <c r="C52" s="21" t="s">
        <v>98</v>
      </c>
      <c r="D52" s="20" t="s">
        <v>60</v>
      </c>
      <c r="E52" s="20" t="s">
        <v>149</v>
      </c>
      <c r="F52" s="20" t="s">
        <v>86</v>
      </c>
      <c r="G52" s="20" t="s">
        <v>35</v>
      </c>
    </row>
    <row r="53" spans="1:7" x14ac:dyDescent="0.25">
      <c r="A53" s="20"/>
      <c r="B53" s="20"/>
      <c r="C53" s="21" t="s">
        <v>101</v>
      </c>
      <c r="D53" s="20" t="s">
        <v>61</v>
      </c>
      <c r="E53" s="20" t="s">
        <v>150</v>
      </c>
      <c r="F53" s="20" t="s">
        <v>86</v>
      </c>
      <c r="G53" s="20" t="s">
        <v>36</v>
      </c>
    </row>
    <row r="54" spans="1:7" x14ac:dyDescent="0.25">
      <c r="A54" s="20"/>
      <c r="B54" s="20"/>
      <c r="C54" s="21" t="s">
        <v>104</v>
      </c>
      <c r="D54" s="20" t="s">
        <v>62</v>
      </c>
      <c r="E54" s="20" t="s">
        <v>151</v>
      </c>
      <c r="F54" s="20" t="s">
        <v>86</v>
      </c>
      <c r="G54" s="20" t="s">
        <v>152</v>
      </c>
    </row>
    <row r="55" spans="1:7" x14ac:dyDescent="0.25">
      <c r="A55" s="20"/>
      <c r="B55" s="20"/>
      <c r="C55" s="21" t="s">
        <v>107</v>
      </c>
      <c r="D55" s="20" t="s">
        <v>58</v>
      </c>
      <c r="E55" s="20" t="s">
        <v>139</v>
      </c>
      <c r="F55" s="20" t="s">
        <v>93</v>
      </c>
      <c r="G55" s="20" t="s">
        <v>140</v>
      </c>
    </row>
    <row r="56" spans="1:7" x14ac:dyDescent="0.25">
      <c r="A56" s="20"/>
      <c r="B56" s="20"/>
      <c r="C56" s="21" t="s">
        <v>110</v>
      </c>
      <c r="D56" s="20" t="s">
        <v>43</v>
      </c>
      <c r="E56" s="20" t="s">
        <v>99</v>
      </c>
      <c r="F56" s="20" t="s">
        <v>79</v>
      </c>
      <c r="G56" s="20" t="s">
        <v>100</v>
      </c>
    </row>
    <row r="57" spans="1:7" x14ac:dyDescent="0.25">
      <c r="A57" s="20"/>
      <c r="B57" s="20"/>
      <c r="C57" s="21" t="s">
        <v>113</v>
      </c>
      <c r="D57" s="20" t="s">
        <v>44</v>
      </c>
      <c r="E57" s="20" t="s">
        <v>102</v>
      </c>
      <c r="F57" s="20" t="s">
        <v>79</v>
      </c>
      <c r="G57" s="20" t="s">
        <v>153</v>
      </c>
    </row>
    <row r="58" spans="1:7" x14ac:dyDescent="0.25">
      <c r="A58" s="20"/>
      <c r="B58" s="20"/>
      <c r="C58" s="21" t="s">
        <v>116</v>
      </c>
      <c r="D58" s="20" t="s">
        <v>45</v>
      </c>
      <c r="E58" s="20" t="s">
        <v>105</v>
      </c>
      <c r="F58" s="20" t="s">
        <v>79</v>
      </c>
      <c r="G58" s="20" t="s">
        <v>106</v>
      </c>
    </row>
    <row r="59" spans="1:7" x14ac:dyDescent="0.25">
      <c r="A59" s="20"/>
      <c r="B59" s="20"/>
      <c r="C59" s="21" t="s">
        <v>119</v>
      </c>
      <c r="D59" s="20" t="s">
        <v>46</v>
      </c>
      <c r="E59" s="20" t="s">
        <v>108</v>
      </c>
      <c r="F59" s="20" t="s">
        <v>79</v>
      </c>
      <c r="G59" s="20" t="s">
        <v>109</v>
      </c>
    </row>
    <row r="60" spans="1:7" x14ac:dyDescent="0.25">
      <c r="A60" s="20"/>
      <c r="B60" s="20"/>
      <c r="C60" s="21" t="s">
        <v>122</v>
      </c>
      <c r="D60" s="20" t="s">
        <v>47</v>
      </c>
      <c r="E60" s="20" t="s">
        <v>111</v>
      </c>
      <c r="F60" s="20" t="s">
        <v>79</v>
      </c>
      <c r="G60" s="20" t="s">
        <v>112</v>
      </c>
    </row>
    <row r="61" spans="1:7" x14ac:dyDescent="0.25">
      <c r="A61" s="20"/>
      <c r="B61" s="20"/>
      <c r="C61" s="21" t="s">
        <v>125</v>
      </c>
      <c r="D61" s="20" t="s">
        <v>48</v>
      </c>
      <c r="E61" s="20" t="s">
        <v>114</v>
      </c>
      <c r="F61" s="20" t="s">
        <v>79</v>
      </c>
      <c r="G61" s="20" t="s">
        <v>115</v>
      </c>
    </row>
    <row r="62" spans="1:7" x14ac:dyDescent="0.25">
      <c r="A62" s="20"/>
      <c r="B62" s="20"/>
      <c r="C62" s="21" t="s">
        <v>129</v>
      </c>
      <c r="D62" s="20" t="s">
        <v>49</v>
      </c>
      <c r="E62" s="20" t="s">
        <v>117</v>
      </c>
      <c r="F62" s="20" t="s">
        <v>79</v>
      </c>
      <c r="G62" s="20" t="s">
        <v>118</v>
      </c>
    </row>
    <row r="63" spans="1:7" x14ac:dyDescent="0.25">
      <c r="A63" s="20"/>
      <c r="B63" s="20"/>
      <c r="C63" s="21" t="s">
        <v>131</v>
      </c>
      <c r="D63" s="20" t="s">
        <v>50</v>
      </c>
      <c r="E63" s="20" t="s">
        <v>120</v>
      </c>
      <c r="F63" s="20" t="s">
        <v>79</v>
      </c>
      <c r="G63" s="20" t="s">
        <v>121</v>
      </c>
    </row>
    <row r="64" spans="1:7" x14ac:dyDescent="0.25">
      <c r="A64" s="20"/>
      <c r="B64" s="20"/>
      <c r="C64" s="21" t="s">
        <v>142</v>
      </c>
      <c r="D64" s="20" t="s">
        <v>51</v>
      </c>
      <c r="E64" s="20" t="s">
        <v>123</v>
      </c>
      <c r="F64" s="20" t="s">
        <v>79</v>
      </c>
      <c r="G64" s="20" t="s">
        <v>124</v>
      </c>
    </row>
    <row r="65" spans="1:7" x14ac:dyDescent="0.25">
      <c r="A65" s="20"/>
      <c r="B65" s="20"/>
      <c r="C65" s="21" t="s">
        <v>143</v>
      </c>
      <c r="D65" s="20" t="s">
        <v>52</v>
      </c>
      <c r="E65" s="20" t="s">
        <v>126</v>
      </c>
      <c r="F65" s="20" t="s">
        <v>127</v>
      </c>
      <c r="G65" s="20" t="s">
        <v>128</v>
      </c>
    </row>
    <row r="66" spans="1:7" x14ac:dyDescent="0.25">
      <c r="A66" s="20"/>
      <c r="B66" s="20"/>
      <c r="C66" s="21" t="s">
        <v>144</v>
      </c>
      <c r="D66" s="20" t="s">
        <v>53</v>
      </c>
      <c r="E66" s="20" t="s">
        <v>126</v>
      </c>
      <c r="F66" s="20" t="s">
        <v>127</v>
      </c>
      <c r="G66" s="20" t="s">
        <v>130</v>
      </c>
    </row>
    <row r="67" spans="1:7" x14ac:dyDescent="0.25">
      <c r="A67" s="20"/>
      <c r="B67" s="20"/>
      <c r="C67" s="21" t="s">
        <v>154</v>
      </c>
      <c r="D67" s="20" t="s">
        <v>54</v>
      </c>
      <c r="E67" s="20" t="s">
        <v>126</v>
      </c>
      <c r="F67" s="20" t="s">
        <v>127</v>
      </c>
      <c r="G67" s="20" t="s">
        <v>132</v>
      </c>
    </row>
    <row r="69" ht="26" customHeight="1" spans="1:7" x14ac:dyDescent="0.25">
      <c r="A69" s="19" t="s">
        <v>15</v>
      </c>
      <c r="B69" s="19" t="s">
        <v>155</v>
      </c>
      <c r="C69" s="19"/>
      <c r="D69" s="19" t="s">
        <v>156</v>
      </c>
      <c r="E69" s="19"/>
      <c r="F69" s="19"/>
      <c r="G69" s="19"/>
    </row>
    <row r="70" spans="1:7" x14ac:dyDescent="0.25">
      <c r="A70" s="20"/>
      <c r="B70" s="20"/>
      <c r="C70" s="21" t="s">
        <v>77</v>
      </c>
      <c r="D70" s="20" t="s">
        <v>37</v>
      </c>
      <c r="E70" s="20" t="s">
        <v>78</v>
      </c>
      <c r="F70" s="20" t="s">
        <v>79</v>
      </c>
      <c r="G70" s="20" t="s">
        <v>80</v>
      </c>
    </row>
    <row r="71" spans="1:7" x14ac:dyDescent="0.25">
      <c r="A71" s="20"/>
      <c r="B71" s="20"/>
      <c r="C71" s="21" t="s">
        <v>81</v>
      </c>
      <c r="D71" s="20" t="s">
        <v>38</v>
      </c>
      <c r="E71" s="20" t="s">
        <v>82</v>
      </c>
      <c r="F71" s="20" t="s">
        <v>79</v>
      </c>
      <c r="G71" s="20" t="s">
        <v>83</v>
      </c>
    </row>
    <row r="72" spans="1:7" x14ac:dyDescent="0.25">
      <c r="A72" s="20"/>
      <c r="B72" s="20"/>
      <c r="C72" s="21" t="s">
        <v>84</v>
      </c>
      <c r="D72" s="20" t="s">
        <v>39</v>
      </c>
      <c r="E72" s="20" t="s">
        <v>85</v>
      </c>
      <c r="F72" s="20" t="s">
        <v>86</v>
      </c>
      <c r="G72" s="20" t="s">
        <v>87</v>
      </c>
    </row>
    <row r="73" spans="1:7" x14ac:dyDescent="0.25">
      <c r="A73" s="20"/>
      <c r="B73" s="20"/>
      <c r="C73" s="21" t="s">
        <v>88</v>
      </c>
      <c r="D73" s="20" t="s">
        <v>40</v>
      </c>
      <c r="E73" s="20" t="s">
        <v>89</v>
      </c>
      <c r="F73" s="20" t="s">
        <v>86</v>
      </c>
      <c r="G73" s="20" t="s">
        <v>90</v>
      </c>
    </row>
    <row r="74" spans="1:7" x14ac:dyDescent="0.25">
      <c r="A74" s="20"/>
      <c r="B74" s="20"/>
      <c r="C74" s="21" t="s">
        <v>91</v>
      </c>
      <c r="D74" s="20" t="s">
        <v>41</v>
      </c>
      <c r="E74" s="20" t="s">
        <v>92</v>
      </c>
      <c r="F74" s="20" t="s">
        <v>93</v>
      </c>
      <c r="G74" s="20" t="s">
        <v>94</v>
      </c>
    </row>
    <row r="75" spans="1:7" x14ac:dyDescent="0.25">
      <c r="A75" s="20"/>
      <c r="B75" s="20"/>
      <c r="C75" s="21" t="s">
        <v>95</v>
      </c>
      <c r="D75" s="20" t="s">
        <v>63</v>
      </c>
      <c r="E75" s="20" t="s">
        <v>157</v>
      </c>
      <c r="F75" s="20" t="s">
        <v>86</v>
      </c>
      <c r="G75" s="20" t="s">
        <v>158</v>
      </c>
    </row>
    <row r="76" spans="1:7" x14ac:dyDescent="0.25">
      <c r="A76" s="20"/>
      <c r="B76" s="20"/>
      <c r="C76" s="21" t="s">
        <v>98</v>
      </c>
      <c r="D76" s="20" t="s">
        <v>64</v>
      </c>
      <c r="E76" s="20" t="s">
        <v>159</v>
      </c>
      <c r="F76" s="20" t="s">
        <v>86</v>
      </c>
      <c r="G76" s="20" t="s">
        <v>160</v>
      </c>
    </row>
    <row r="77" spans="1:7" x14ac:dyDescent="0.25">
      <c r="A77" s="20"/>
      <c r="B77" s="20"/>
      <c r="C77" s="21" t="s">
        <v>101</v>
      </c>
      <c r="D77" s="20" t="s">
        <v>65</v>
      </c>
      <c r="E77" s="20" t="s">
        <v>161</v>
      </c>
      <c r="F77" s="20" t="s">
        <v>86</v>
      </c>
      <c r="G77" s="20" t="s">
        <v>162</v>
      </c>
    </row>
    <row r="78" spans="1:7" x14ac:dyDescent="0.25">
      <c r="A78" s="20"/>
      <c r="B78" s="20"/>
      <c r="C78" s="21" t="s">
        <v>104</v>
      </c>
      <c r="D78" s="20" t="s">
        <v>66</v>
      </c>
      <c r="E78" s="20" t="s">
        <v>163</v>
      </c>
      <c r="F78" s="20" t="s">
        <v>86</v>
      </c>
      <c r="G78" s="20" t="s">
        <v>164</v>
      </c>
    </row>
    <row r="79" spans="1:7" x14ac:dyDescent="0.25">
      <c r="A79" s="20"/>
      <c r="B79" s="20"/>
      <c r="C79" s="21" t="s">
        <v>107</v>
      </c>
      <c r="D79" s="20" t="s">
        <v>67</v>
      </c>
      <c r="E79" s="20" t="s">
        <v>165</v>
      </c>
      <c r="F79" s="20" t="s">
        <v>93</v>
      </c>
      <c r="G79" s="20" t="s">
        <v>166</v>
      </c>
    </row>
    <row r="80" spans="1:7" x14ac:dyDescent="0.25">
      <c r="A80" s="20"/>
      <c r="B80" s="20"/>
      <c r="C80" s="21" t="s">
        <v>110</v>
      </c>
      <c r="D80" s="20" t="s">
        <v>68</v>
      </c>
      <c r="E80" s="20" t="s">
        <v>167</v>
      </c>
      <c r="F80" s="20" t="s">
        <v>86</v>
      </c>
      <c r="G80" s="20" t="s">
        <v>168</v>
      </c>
    </row>
    <row r="81" spans="1:7" x14ac:dyDescent="0.25">
      <c r="A81" s="20"/>
      <c r="B81" s="20"/>
      <c r="C81" s="21" t="s">
        <v>113</v>
      </c>
      <c r="D81" s="20" t="s">
        <v>43</v>
      </c>
      <c r="E81" s="20" t="s">
        <v>99</v>
      </c>
      <c r="F81" s="20" t="s">
        <v>79</v>
      </c>
      <c r="G81" s="20" t="s">
        <v>100</v>
      </c>
    </row>
    <row r="82" spans="1:7" x14ac:dyDescent="0.25">
      <c r="A82" s="20"/>
      <c r="B82" s="20"/>
      <c r="C82" s="21" t="s">
        <v>116</v>
      </c>
      <c r="D82" s="20" t="s">
        <v>44</v>
      </c>
      <c r="E82" s="20" t="s">
        <v>102</v>
      </c>
      <c r="F82" s="20" t="s">
        <v>79</v>
      </c>
      <c r="G82" s="20" t="s">
        <v>169</v>
      </c>
    </row>
    <row r="83" spans="1:7" x14ac:dyDescent="0.25">
      <c r="A83" s="20"/>
      <c r="B83" s="20"/>
      <c r="C83" s="21" t="s">
        <v>119</v>
      </c>
      <c r="D83" s="20" t="s">
        <v>45</v>
      </c>
      <c r="E83" s="20" t="s">
        <v>105</v>
      </c>
      <c r="F83" s="20" t="s">
        <v>79</v>
      </c>
      <c r="G83" s="20" t="s">
        <v>106</v>
      </c>
    </row>
    <row r="84" spans="1:7" x14ac:dyDescent="0.25">
      <c r="A84" s="20"/>
      <c r="B84" s="20"/>
      <c r="C84" s="21" t="s">
        <v>122</v>
      </c>
      <c r="D84" s="20" t="s">
        <v>46</v>
      </c>
      <c r="E84" s="20" t="s">
        <v>108</v>
      </c>
      <c r="F84" s="20" t="s">
        <v>79</v>
      </c>
      <c r="G84" s="20" t="s">
        <v>109</v>
      </c>
    </row>
    <row r="85" spans="1:7" x14ac:dyDescent="0.25">
      <c r="A85" s="20"/>
      <c r="B85" s="20"/>
      <c r="C85" s="21" t="s">
        <v>125</v>
      </c>
      <c r="D85" s="20" t="s">
        <v>47</v>
      </c>
      <c r="E85" s="20" t="s">
        <v>111</v>
      </c>
      <c r="F85" s="20" t="s">
        <v>79</v>
      </c>
      <c r="G85" s="20" t="s">
        <v>112</v>
      </c>
    </row>
    <row r="86" spans="1:7" x14ac:dyDescent="0.25">
      <c r="A86" s="20"/>
      <c r="B86" s="20"/>
      <c r="C86" s="21" t="s">
        <v>129</v>
      </c>
      <c r="D86" s="20" t="s">
        <v>48</v>
      </c>
      <c r="E86" s="20" t="s">
        <v>114</v>
      </c>
      <c r="F86" s="20" t="s">
        <v>79</v>
      </c>
      <c r="G86" s="20" t="s">
        <v>115</v>
      </c>
    </row>
    <row r="87" spans="1:7" x14ac:dyDescent="0.25">
      <c r="A87" s="20"/>
      <c r="B87" s="20"/>
      <c r="C87" s="21" t="s">
        <v>131</v>
      </c>
      <c r="D87" s="20" t="s">
        <v>49</v>
      </c>
      <c r="E87" s="20" t="s">
        <v>117</v>
      </c>
      <c r="F87" s="20" t="s">
        <v>79</v>
      </c>
      <c r="G87" s="20" t="s">
        <v>118</v>
      </c>
    </row>
    <row r="88" spans="1:7" x14ac:dyDescent="0.25">
      <c r="A88" s="20"/>
      <c r="B88" s="20"/>
      <c r="C88" s="21" t="s">
        <v>142</v>
      </c>
      <c r="D88" s="20" t="s">
        <v>50</v>
      </c>
      <c r="E88" s="20" t="s">
        <v>120</v>
      </c>
      <c r="F88" s="20" t="s">
        <v>79</v>
      </c>
      <c r="G88" s="20" t="s">
        <v>121</v>
      </c>
    </row>
    <row r="89" spans="1:7" x14ac:dyDescent="0.25">
      <c r="A89" s="20"/>
      <c r="B89" s="20"/>
      <c r="C89" s="21" t="s">
        <v>143</v>
      </c>
      <c r="D89" s="20" t="s">
        <v>51</v>
      </c>
      <c r="E89" s="20" t="s">
        <v>123</v>
      </c>
      <c r="F89" s="20" t="s">
        <v>79</v>
      </c>
      <c r="G89" s="20" t="s">
        <v>124</v>
      </c>
    </row>
    <row r="90" spans="1:7" x14ac:dyDescent="0.25">
      <c r="A90" s="20"/>
      <c r="B90" s="20"/>
      <c r="C90" s="21" t="s">
        <v>144</v>
      </c>
      <c r="D90" s="20" t="s">
        <v>52</v>
      </c>
      <c r="E90" s="20" t="s">
        <v>126</v>
      </c>
      <c r="F90" s="20" t="s">
        <v>127</v>
      </c>
      <c r="G90" s="20" t="s">
        <v>128</v>
      </c>
    </row>
    <row r="91" spans="1:7" x14ac:dyDescent="0.25">
      <c r="A91" s="20"/>
      <c r="B91" s="20"/>
      <c r="C91" s="21" t="s">
        <v>154</v>
      </c>
      <c r="D91" s="20" t="s">
        <v>53</v>
      </c>
      <c r="E91" s="20" t="s">
        <v>126</v>
      </c>
      <c r="F91" s="20" t="s">
        <v>127</v>
      </c>
      <c r="G91" s="20" t="s">
        <v>130</v>
      </c>
    </row>
    <row r="92" spans="1:7" x14ac:dyDescent="0.25">
      <c r="A92" s="20"/>
      <c r="B92" s="20"/>
      <c r="C92" s="21" t="s">
        <v>170</v>
      </c>
      <c r="D92" s="20" t="s">
        <v>54</v>
      </c>
      <c r="E92" s="20" t="s">
        <v>126</v>
      </c>
      <c r="F92" s="20" t="s">
        <v>127</v>
      </c>
      <c r="G92" s="20" t="s">
        <v>132</v>
      </c>
    </row>
    <row r="94" spans="1:1" x14ac:dyDescent="0.25">
      <c r="A94" s="22" t="s">
        <v>171</v>
      </c>
    </row>
    <row r="95" spans="1:1" x14ac:dyDescent="0.25">
      <c r="A95" s="23" t="s">
        <v>172</v>
      </c>
    </row>
    <row r="96" spans="1:1" x14ac:dyDescent="0.25">
      <c r="A96" s="23" t="s">
        <v>173</v>
      </c>
    </row>
    <row r="97" spans="1:1" x14ac:dyDescent="0.25">
      <c r="A97" s="23" t="s">
        <v>174</v>
      </c>
    </row>
    <row r="98" spans="1:1" x14ac:dyDescent="0.25">
      <c r="A98" s="23" t="s">
        <v>175</v>
      </c>
    </row>
    <row r="99" spans="1:1" x14ac:dyDescent="0.25">
      <c r="A99" s="23" t="s">
        <v>176</v>
      </c>
    </row>
    <row r="100" spans="1:1" x14ac:dyDescent="0.25">
      <c r="A100" s="23" t="s">
        <v>177</v>
      </c>
    </row>
    <row r="101" spans="1:1" x14ac:dyDescent="0.25">
      <c r="A101" s="23" t="s">
        <v>178</v>
      </c>
    </row>
    <row r="102" spans="1:1" x14ac:dyDescent="0.25">
      <c r="A102" s="2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· Summary</vt:lpstr>
      <vt:lpstr>الاستشارات · Contact</vt:lpstr>
      <vt:lpstr>طلبات الخدمة · Service</vt:lpstr>
      <vt:lpstr>المسوقين · Marketers</vt:lpstr>
      <vt:lpstr>التوظيف · Jobs</vt:lpstr>
      <vt:lpstr>الحقول ·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SalesUp</dc:creator>
  <dc:title/>
  <dc:subject/>
  <dc:description/>
  <cp:keywords/>
  <cp:category/>
  <cp:lastModifiedBy>Unknown</cp:lastModifiedBy>
  <dcterms:created xsi:type="dcterms:W3CDTF">2026-08-06T21:00:00Z</dcterms:created>
  <dcterms:modified xsi:type="dcterms:W3CDTF">2026-08-07T15:51:40Z</dcterms:modified>
</cp:coreProperties>
</file>